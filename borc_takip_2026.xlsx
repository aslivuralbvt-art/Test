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m" sheetId="1" state="visible" r:id="rId1"/>
    <sheet xmlns:r="http://schemas.openxmlformats.org/officeDocument/2006/relationships" name="Sem" sheetId="2" state="visible" r:id="rId2"/>
    <sheet xmlns:r="http://schemas.openxmlformats.org/officeDocument/2006/relationships" name="Öz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TL&quot;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A1F3D"/>
      </patternFill>
    </fill>
    <fill>
      <patternFill patternType="solid">
        <fgColor rgb="00FFD8A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1" fillId="0" borderId="1" pivotButton="0" quotePrefix="0" xfId="0"/>
    <xf numFmtId="164" fontId="1" fillId="0" borderId="1" pivotButton="0" quotePrefix="0" xfId="0"/>
    <xf numFmtId="164" fontId="1" fillId="3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D8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8" customWidth="1" min="3" max="3"/>
    <col width="15" customWidth="1" min="4" max="4"/>
    <col width="18" customWidth="1" min="5" max="5"/>
    <col width="13" customWidth="1" min="6" max="6"/>
    <col width="52" customWidth="1" min="7" max="7"/>
  </cols>
  <sheetData>
    <row r="1">
      <c r="A1" s="1" t="inlineStr">
        <is>
          <t>Ay</t>
        </is>
      </c>
      <c r="B1" s="1" t="inlineStr">
        <is>
          <t>Ödeme Tarihi</t>
        </is>
      </c>
      <c r="C1" s="1" t="inlineStr">
        <is>
          <t>Aylık Tutar (TL)</t>
        </is>
      </c>
      <c r="D1" s="1" t="inlineStr">
        <is>
          <t>Ödenen (TL)</t>
        </is>
      </c>
      <c r="E1" s="1" t="inlineStr">
        <is>
          <t>Kalan Borç (TL)</t>
        </is>
      </c>
      <c r="F1" s="1" t="inlineStr">
        <is>
          <t>Ödeme Şekli</t>
        </is>
      </c>
      <c r="G1" s="1" t="inlineStr">
        <is>
          <t>Not</t>
        </is>
      </c>
    </row>
    <row r="2">
      <c r="A2" s="2" t="inlineStr">
        <is>
          <t>Ocak</t>
        </is>
      </c>
      <c r="B2" s="2" t="inlineStr">
        <is>
          <t>23.01.2026</t>
        </is>
      </c>
      <c r="C2" s="3" t="n">
        <v>50000</v>
      </c>
      <c r="D2" s="3" t="n">
        <v>50000</v>
      </c>
      <c r="E2" s="3">
        <f>C2-D2</f>
        <v/>
      </c>
      <c r="F2" s="2" t="inlineStr">
        <is>
          <t>Hesaptan</t>
        </is>
      </c>
      <c r="G2" s="2" t="inlineStr">
        <is>
          <t>Borç yok</t>
        </is>
      </c>
    </row>
    <row r="3">
      <c r="A3" s="2" t="inlineStr">
        <is>
          <t>Şubat</t>
        </is>
      </c>
      <c r="B3" s="2" t="inlineStr">
        <is>
          <t>16.04.2026</t>
        </is>
      </c>
      <c r="C3" s="3" t="n">
        <v>60000</v>
      </c>
      <c r="D3" s="3" t="n">
        <v>60000</v>
      </c>
      <c r="E3" s="3">
        <f>C3-D3</f>
        <v/>
      </c>
      <c r="F3" s="2" t="inlineStr">
        <is>
          <t>BTC</t>
        </is>
      </c>
      <c r="G3" s="2" t="inlineStr"/>
    </row>
    <row r="4">
      <c r="A4" s="2" t="inlineStr">
        <is>
          <t>Mart</t>
        </is>
      </c>
      <c r="B4" s="2" t="inlineStr">
        <is>
          <t>29.04.2026</t>
        </is>
      </c>
      <c r="C4" s="3" t="n">
        <v>60000</v>
      </c>
      <c r="D4" s="3" t="n">
        <v>60000</v>
      </c>
      <c r="E4" s="3">
        <f>C4-D4</f>
        <v/>
      </c>
      <c r="F4" s="2" t="inlineStr">
        <is>
          <t>BTC</t>
        </is>
      </c>
      <c r="G4" s="2" t="inlineStr"/>
    </row>
    <row r="5">
      <c r="A5" s="2" t="inlineStr">
        <is>
          <t>Nisan</t>
        </is>
      </c>
      <c r="B5" s="2" t="inlineStr"/>
      <c r="C5" s="3" t="n">
        <v>60000</v>
      </c>
      <c r="D5" s="3" t="n">
        <v>0</v>
      </c>
      <c r="E5" s="3">
        <f>C5-D5</f>
        <v/>
      </c>
      <c r="F5" s="2" t="inlineStr"/>
      <c r="G5" s="2" t="inlineStr">
        <is>
          <t>Alınmadı</t>
        </is>
      </c>
    </row>
    <row r="6">
      <c r="A6" s="2" t="inlineStr">
        <is>
          <t>Mayıs</t>
        </is>
      </c>
      <c r="B6" s="2" t="inlineStr"/>
      <c r="C6" s="3" t="n">
        <v>60000</v>
      </c>
      <c r="D6" s="3" t="n">
        <v>0</v>
      </c>
      <c r="E6" s="3">
        <f>C6-D6</f>
        <v/>
      </c>
      <c r="F6" s="2" t="inlineStr"/>
      <c r="G6" s="2" t="inlineStr">
        <is>
          <t>Alınmadı</t>
        </is>
      </c>
    </row>
    <row r="7">
      <c r="A7" s="2" t="inlineStr">
        <is>
          <t>Haziran</t>
        </is>
      </c>
      <c r="B7" s="2" t="inlineStr"/>
      <c r="C7" s="3" t="n">
        <v>60000</v>
      </c>
      <c r="D7" s="3" t="n">
        <v>0</v>
      </c>
      <c r="E7" s="3">
        <f>C7-D7</f>
        <v/>
      </c>
      <c r="F7" s="2" t="inlineStr"/>
      <c r="G7" s="2" t="inlineStr">
        <is>
          <t>Alınmadı</t>
        </is>
      </c>
    </row>
    <row r="8">
      <c r="A8" s="2" t="inlineStr">
        <is>
          <t>Temmuz</t>
        </is>
      </c>
      <c r="B8" s="2" t="inlineStr">
        <is>
          <t>23.07.2026</t>
        </is>
      </c>
      <c r="C8" s="3" t="n">
        <v>60000</v>
      </c>
      <c r="D8" s="3" t="n">
        <v>40000</v>
      </c>
      <c r="E8" s="3">
        <f>C8-D8</f>
        <v/>
      </c>
      <c r="F8" s="2" t="inlineStr">
        <is>
          <t>Hesaptan</t>
        </is>
      </c>
      <c r="G8" s="2" t="inlineStr">
        <is>
          <t>20.000 kalan</t>
        </is>
      </c>
    </row>
    <row r="9">
      <c r="A9" s="2" t="inlineStr">
        <is>
          <t>Ağustos</t>
        </is>
      </c>
      <c r="B9" s="2" t="inlineStr">
        <is>
          <t>23.08.2026</t>
        </is>
      </c>
      <c r="C9" s="3" t="n">
        <v>60000</v>
      </c>
      <c r="D9" s="3" t="n">
        <v>40000</v>
      </c>
      <c r="E9" s="3">
        <f>C9-D9</f>
        <v/>
      </c>
      <c r="F9" s="2" t="inlineStr">
        <is>
          <t>Hesaptan</t>
        </is>
      </c>
      <c r="G9" s="2" t="inlineStr">
        <is>
          <t>20.000 kalan</t>
        </is>
      </c>
    </row>
    <row r="10">
      <c r="A10" s="2" t="inlineStr">
        <is>
          <t>Eylül</t>
        </is>
      </c>
      <c r="B10" s="2" t="inlineStr">
        <is>
          <t>23.09.2026</t>
        </is>
      </c>
      <c r="C10" s="3" t="n">
        <v>60000</v>
      </c>
      <c r="D10" s="3" t="n">
        <v>40000</v>
      </c>
      <c r="E10" s="3">
        <f>C10-D10</f>
        <v/>
      </c>
      <c r="F10" s="2" t="inlineStr">
        <is>
          <t>Hesaptan</t>
        </is>
      </c>
      <c r="G10" s="2" t="inlineStr">
        <is>
          <t>20.000 kalan</t>
        </is>
      </c>
    </row>
    <row r="11">
      <c r="A11" s="2" t="inlineStr">
        <is>
          <t>Ekim</t>
        </is>
      </c>
      <c r="B11" s="2" t="inlineStr"/>
      <c r="C11" s="3" t="n">
        <v>60000</v>
      </c>
      <c r="D11" s="3" t="n">
        <v>0</v>
      </c>
      <c r="E11" s="3">
        <f>C11-D11</f>
        <v/>
      </c>
      <c r="F11" s="2" t="inlineStr"/>
      <c r="G11" s="2" t="inlineStr">
        <is>
          <t>Alınmadı</t>
        </is>
      </c>
    </row>
    <row r="12">
      <c r="A12" s="2" t="n"/>
      <c r="B12" s="2" t="n"/>
      <c r="C12" s="3" t="n"/>
      <c r="D12" s="3" t="n"/>
      <c r="E12" s="3" t="n"/>
      <c r="F12" s="2" t="n"/>
      <c r="G12" s="2" t="n"/>
    </row>
    <row r="13">
      <c r="A13" s="4" t="inlineStr">
        <is>
          <t>TOPLAM</t>
        </is>
      </c>
      <c r="B13" s="4" t="n"/>
      <c r="C13" s="5">
        <f>SUM(C2:C11)</f>
        <v/>
      </c>
      <c r="D13" s="5">
        <f>SUM(D2:D11)</f>
        <v/>
      </c>
      <c r="E13" s="6">
        <f>SUM(E2:E11)</f>
        <v/>
      </c>
      <c r="F13" s="4" t="n"/>
      <c r="G13" s="4" t="n"/>
    </row>
  </sheetData>
  <conditionalFormatting sqref="E2:E11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8" customWidth="1" min="3" max="3"/>
    <col width="15" customWidth="1" min="4" max="4"/>
    <col width="18" customWidth="1" min="5" max="5"/>
    <col width="13" customWidth="1" min="6" max="6"/>
    <col width="52" customWidth="1" min="7" max="7"/>
  </cols>
  <sheetData>
    <row r="1">
      <c r="A1" s="1" t="inlineStr">
        <is>
          <t>Ay</t>
        </is>
      </c>
      <c r="B1" s="1" t="inlineStr">
        <is>
          <t>Ödeme Tarihi</t>
        </is>
      </c>
      <c r="C1" s="1" t="inlineStr">
        <is>
          <t>Aylık Tutar (TL)</t>
        </is>
      </c>
      <c r="D1" s="1" t="inlineStr">
        <is>
          <t>Ödenen (TL)</t>
        </is>
      </c>
      <c r="E1" s="1" t="inlineStr">
        <is>
          <t>Kalan Borç (TL)</t>
        </is>
      </c>
      <c r="F1" s="1" t="inlineStr">
        <is>
          <t>Ödeme Şekli</t>
        </is>
      </c>
      <c r="G1" s="1" t="inlineStr">
        <is>
          <t>Not</t>
        </is>
      </c>
    </row>
    <row r="2">
      <c r="A2" s="2" t="inlineStr">
        <is>
          <t>Ocak</t>
        </is>
      </c>
      <c r="B2" s="2" t="inlineStr">
        <is>
          <t>23.01.2026</t>
        </is>
      </c>
      <c r="C2" s="3" t="n">
        <v>50000</v>
      </c>
      <c r="D2" s="3" t="n">
        <v>50000</v>
      </c>
      <c r="E2" s="3">
        <f>C2-D2</f>
        <v/>
      </c>
      <c r="F2" s="2" t="inlineStr">
        <is>
          <t>Hesaptan</t>
        </is>
      </c>
      <c r="G2" s="2" t="inlineStr">
        <is>
          <t>Borç yok</t>
        </is>
      </c>
    </row>
    <row r="3">
      <c r="A3" s="2" t="inlineStr">
        <is>
          <t>Şubat</t>
        </is>
      </c>
      <c r="B3" s="2" t="inlineStr">
        <is>
          <t>27.03.2026 + 06.04.2026</t>
        </is>
      </c>
      <c r="C3" s="3" t="n">
        <v>60000</v>
      </c>
      <c r="D3" s="3">
        <f>26500+33500</f>
        <v/>
      </c>
      <c r="E3" s="3">
        <f>C3-D3</f>
        <v/>
      </c>
      <c r="F3" s="2" t="inlineStr">
        <is>
          <t>BTC</t>
        </is>
      </c>
      <c r="G3" s="2" t="inlineStr">
        <is>
          <t>600$ = 26.500 TL ve 750$ = 33.500 TL, borç yok</t>
        </is>
      </c>
    </row>
    <row r="4">
      <c r="A4" s="2" t="inlineStr">
        <is>
          <t>Mart</t>
        </is>
      </c>
      <c r="B4" s="2" t="inlineStr">
        <is>
          <t>29.04.2026</t>
        </is>
      </c>
      <c r="C4" s="3" t="n">
        <v>60000</v>
      </c>
      <c r="D4" s="3" t="n">
        <v>60000</v>
      </c>
      <c r="E4" s="3">
        <f>C4-D4</f>
        <v/>
      </c>
      <c r="F4" s="2" t="inlineStr">
        <is>
          <t>BTC</t>
        </is>
      </c>
      <c r="G4" s="2" t="inlineStr">
        <is>
          <t>Borç yok</t>
        </is>
      </c>
    </row>
    <row r="5">
      <c r="A5" s="2" t="inlineStr">
        <is>
          <t>Nisan</t>
        </is>
      </c>
      <c r="B5" s="2" t="inlineStr">
        <is>
          <t>24.04.2026</t>
        </is>
      </c>
      <c r="C5" s="3" t="n">
        <v>60000</v>
      </c>
      <c r="D5" s="3" t="n">
        <v>20000</v>
      </c>
      <c r="E5" s="3">
        <f>C5-D5</f>
        <v/>
      </c>
      <c r="F5" s="2" t="inlineStr">
        <is>
          <t>BTC</t>
        </is>
      </c>
      <c r="G5" s="2" t="inlineStr">
        <is>
          <t>Yaklaşık 445$, 40.000 kalan (defterde en alta yazılmış)</t>
        </is>
      </c>
    </row>
    <row r="6">
      <c r="A6" s="2" t="inlineStr">
        <is>
          <t>Mayıs</t>
        </is>
      </c>
      <c r="B6" s="2" t="inlineStr">
        <is>
          <t>25.05.2026</t>
        </is>
      </c>
      <c r="C6" s="3" t="n">
        <v>60000</v>
      </c>
      <c r="D6" s="3" t="n">
        <v>60000</v>
      </c>
      <c r="E6" s="3">
        <f>C6-D6</f>
        <v/>
      </c>
      <c r="F6" s="2" t="inlineStr">
        <is>
          <t>Hesaptan</t>
        </is>
      </c>
      <c r="G6" s="2" t="inlineStr">
        <is>
          <t>Borç yok</t>
        </is>
      </c>
    </row>
    <row r="7">
      <c r="A7" s="2" t="inlineStr">
        <is>
          <t>Haziran</t>
        </is>
      </c>
      <c r="B7" s="2" t="inlineStr">
        <is>
          <t>28.06.2026</t>
        </is>
      </c>
      <c r="C7" s="3" t="n">
        <v>60000</v>
      </c>
      <c r="D7" s="3" t="n">
        <v>50000</v>
      </c>
      <c r="E7" s="3">
        <f>C7-D7</f>
        <v/>
      </c>
      <c r="F7" s="2" t="inlineStr">
        <is>
          <t>Hesaptan</t>
        </is>
      </c>
      <c r="G7" s="2" t="inlineStr">
        <is>
          <t>10.000 kalan</t>
        </is>
      </c>
    </row>
    <row r="8">
      <c r="A8" s="2" t="inlineStr">
        <is>
          <t>Temmuz</t>
        </is>
      </c>
      <c r="B8" s="2" t="inlineStr">
        <is>
          <t>24.07.2026</t>
        </is>
      </c>
      <c r="C8" s="3" t="n">
        <v>60000</v>
      </c>
      <c r="D8" s="3" t="n">
        <v>40000</v>
      </c>
      <c r="E8" s="3">
        <f>C8-D8</f>
        <v/>
      </c>
      <c r="F8" s="2" t="inlineStr">
        <is>
          <t>Hesaptan</t>
        </is>
      </c>
      <c r="G8" s="2" t="inlineStr">
        <is>
          <t>20.000 kalan</t>
        </is>
      </c>
    </row>
    <row r="9">
      <c r="A9" s="2" t="inlineStr">
        <is>
          <t>Ağustos</t>
        </is>
      </c>
      <c r="B9" s="2" t="inlineStr">
        <is>
          <t>29.08.2026</t>
        </is>
      </c>
      <c r="C9" s="3" t="n">
        <v>60000</v>
      </c>
      <c r="D9" s="3" t="n">
        <v>40000</v>
      </c>
      <c r="E9" s="3">
        <f>C9-D9</f>
        <v/>
      </c>
      <c r="F9" s="2" t="inlineStr">
        <is>
          <t>Hesaptan</t>
        </is>
      </c>
      <c r="G9" s="2" t="inlineStr">
        <is>
          <t>20.000 kalan</t>
        </is>
      </c>
    </row>
    <row r="10">
      <c r="A10" s="2" t="inlineStr">
        <is>
          <t>Eylül</t>
        </is>
      </c>
      <c r="B10" s="2" t="inlineStr">
        <is>
          <t>23.09.2026</t>
        </is>
      </c>
      <c r="C10" s="3" t="n">
        <v>60000</v>
      </c>
      <c r="D10" s="3" t="n">
        <v>50000</v>
      </c>
      <c r="E10" s="3">
        <f>C10-D10</f>
        <v/>
      </c>
      <c r="F10" s="2" t="inlineStr">
        <is>
          <t>Hesaptan</t>
        </is>
      </c>
      <c r="G10" s="2" t="inlineStr">
        <is>
          <t>10.000 kalan</t>
        </is>
      </c>
    </row>
    <row r="11">
      <c r="A11" s="2" t="inlineStr">
        <is>
          <t>Ekim</t>
        </is>
      </c>
      <c r="B11" s="2" t="inlineStr"/>
      <c r="C11" s="3" t="n">
        <v>60000</v>
      </c>
      <c r="D11" s="3" t="n">
        <v>0</v>
      </c>
      <c r="E11" s="3">
        <f>C11-D11</f>
        <v/>
      </c>
      <c r="F11" s="2" t="inlineStr"/>
      <c r="G11" s="2" t="inlineStr">
        <is>
          <t>Alınmadı</t>
        </is>
      </c>
    </row>
    <row r="12">
      <c r="A12" s="2" t="n"/>
      <c r="B12" s="2" t="n"/>
      <c r="C12" s="3" t="n"/>
      <c r="D12" s="3" t="n"/>
      <c r="E12" s="3" t="n"/>
      <c r="F12" s="2" t="n"/>
      <c r="G12" s="2" t="n"/>
    </row>
    <row r="13">
      <c r="A13" s="4" t="inlineStr">
        <is>
          <t>TOPLAM</t>
        </is>
      </c>
      <c r="B13" s="4" t="n"/>
      <c r="C13" s="5">
        <f>SUM(C2:C11)</f>
        <v/>
      </c>
      <c r="D13" s="5">
        <f>SUM(D2:D11)</f>
        <v/>
      </c>
      <c r="E13" s="6">
        <f>SUM(E2:E11)</f>
        <v/>
      </c>
      <c r="F13" s="4" t="n"/>
      <c r="G13" s="4" t="n"/>
    </row>
  </sheetData>
  <conditionalFormatting sqref="E2:E11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3" customWidth="1" min="4" max="4"/>
  </cols>
  <sheetData>
    <row r="1">
      <c r="A1" s="1" t="inlineStr">
        <is>
          <t>Kişi</t>
        </is>
      </c>
      <c r="B1" s="1" t="inlineStr">
        <is>
          <t>Toplam Ödenen (TL)</t>
        </is>
      </c>
      <c r="C1" s="1" t="inlineStr">
        <is>
          <t>Toplam Borç (TL)</t>
        </is>
      </c>
      <c r="D1" s="1" t="inlineStr">
        <is>
          <t>Tarih</t>
        </is>
      </c>
    </row>
    <row r="2">
      <c r="A2" s="2" t="inlineStr">
        <is>
          <t>Cem</t>
        </is>
      </c>
      <c r="B2" s="3">
        <f>Cem!D13</f>
        <v/>
      </c>
      <c r="C2" s="3">
        <f>Cem!E13</f>
        <v/>
      </c>
      <c r="D2" s="2" t="inlineStr">
        <is>
          <t>26.10.2026</t>
        </is>
      </c>
    </row>
    <row r="3">
      <c r="A3" s="2" t="inlineStr">
        <is>
          <t>Sem</t>
        </is>
      </c>
      <c r="B3" s="3">
        <f>Sem!D13</f>
        <v/>
      </c>
      <c r="C3" s="3">
        <f>Sem!E13</f>
        <v/>
      </c>
      <c r="D3" s="2" t="inlineStr">
        <is>
          <t>26.10.2026</t>
        </is>
      </c>
    </row>
    <row r="4">
      <c r="A4" s="4" t="inlineStr">
        <is>
          <t>GENEL TOPLAM</t>
        </is>
      </c>
      <c r="B4" s="5">
        <f>B2+B3</f>
        <v/>
      </c>
      <c r="C4" s="6">
        <f>C2+C3</f>
        <v/>
      </c>
      <c r="D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2026-10-26T20:17:04Z</dcterms:created>
  <dcterms:modified xmlns:dcterms="http://purl.org/dc/terms/" xmlns:xsi="http://www.w3.org/2001/XMLSchema-instance" xsi:type="dcterms:W3CDTF">2026-10-26T20:17:04Z</dcterms:modified>
</cp:coreProperties>
</file>